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67426745-499F-4200-8CA3-5E79FE044A4B}" xr6:coauthVersionLast="47" xr6:coauthVersionMax="47" xr10:uidLastSave="{00000000-0000-0000-0000-000000000000}"/>
  <bookViews>
    <workbookView xWindow="-108" yWindow="-108" windowWidth="30936" windowHeight="16896" xr2:uid="{80385532-D16D-48BB-8E0A-FDF3E26C7CB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5" i="1" l="1"/>
  <c r="N25" i="1"/>
  <c r="L25" i="1"/>
  <c r="J25" i="1"/>
  <c r="H25" i="1"/>
  <c r="F9" i="1"/>
  <c r="P17" i="1" s="1"/>
  <c r="L9" i="1"/>
  <c r="L17" i="1" s="1"/>
  <c r="J9" i="1"/>
  <c r="F17" i="1" s="1"/>
  <c r="N8" i="1"/>
  <c r="N7" i="1"/>
  <c r="N6" i="1"/>
  <c r="N5" i="1"/>
  <c r="N4" i="1"/>
  <c r="N3" i="1"/>
  <c r="F40" i="1"/>
  <c r="F21" i="1" s="1"/>
  <c r="F23" i="1" s="1"/>
  <c r="F27" i="1" s="1"/>
  <c r="V40" i="1"/>
  <c r="V21" i="1" s="1"/>
  <c r="V23" i="1" s="1"/>
  <c r="D40" i="1"/>
  <c r="D21" i="1" s="1"/>
  <c r="D23" i="1" s="1"/>
  <c r="R40" i="1"/>
  <c r="R21" i="1" s="1"/>
  <c r="R23" i="1" s="1"/>
  <c r="T40" i="1"/>
  <c r="T21" i="1" s="1"/>
  <c r="T23" i="1" s="1"/>
  <c r="P40" i="1"/>
  <c r="P21" i="1" s="1"/>
  <c r="P23" i="1" s="1"/>
  <c r="P27" i="1" s="1"/>
  <c r="R25" i="1" s="1"/>
  <c r="N40" i="1"/>
  <c r="N21" i="1" s="1"/>
  <c r="N23" i="1" s="1"/>
  <c r="L40" i="1"/>
  <c r="L21" i="1" s="1"/>
  <c r="L23" i="1" s="1"/>
  <c r="J40" i="1"/>
  <c r="J21" i="1" s="1"/>
  <c r="H40" i="1"/>
  <c r="H21" i="1" s="1"/>
  <c r="H23" i="1" s="1"/>
  <c r="J34" i="1"/>
  <c r="N27" i="1" l="1"/>
  <c r="L27" i="1"/>
  <c r="R17" i="1"/>
  <c r="T17" i="1"/>
  <c r="V17" i="1"/>
  <c r="N17" i="1"/>
  <c r="D17" i="1"/>
  <c r="H17" i="1"/>
  <c r="N9" i="1"/>
  <c r="J17" i="1" s="1"/>
  <c r="H27" i="1"/>
  <c r="J23" i="1"/>
  <c r="J27" i="1" s="1"/>
  <c r="R27" i="1"/>
  <c r="T25" i="1" s="1"/>
  <c r="T27" i="1" s="1"/>
  <c r="V25" i="1" s="1"/>
  <c r="V27" i="1" s="1"/>
  <c r="D27" i="1"/>
</calcChain>
</file>

<file path=xl/sharedStrings.xml><?xml version="1.0" encoding="utf-8"?>
<sst xmlns="http://schemas.openxmlformats.org/spreadsheetml/2006/main" count="88" uniqueCount="71">
  <si>
    <t>Участок</t>
  </si>
  <si>
    <t>Пила (форматник)</t>
  </si>
  <si>
    <t>Специалист</t>
  </si>
  <si>
    <t>Вес специалиста</t>
  </si>
  <si>
    <t>Мастер форматной пилы</t>
  </si>
  <si>
    <t>Комкооблицовочный станок</t>
  </si>
  <si>
    <t>Присадочный станок</t>
  </si>
  <si>
    <t>Участок фрезерования</t>
  </si>
  <si>
    <t>Комплектация</t>
  </si>
  <si>
    <t>Сборка</t>
  </si>
  <si>
    <t>ОТК</t>
  </si>
  <si>
    <t>Добавить участок</t>
  </si>
  <si>
    <t>1. Нужно добавлять "участки"</t>
  </si>
  <si>
    <t>2. Участки можно менять местами</t>
  </si>
  <si>
    <t>3. Участки могут зависить от пропускной способности предыдущего, а могут работать параллельно</t>
  </si>
  <si>
    <t>Ед.измерения</t>
  </si>
  <si>
    <t>м2</t>
  </si>
  <si>
    <t>По заказам</t>
  </si>
  <si>
    <t>м/погонный</t>
  </si>
  <si>
    <t>Кол-во сотрудников</t>
  </si>
  <si>
    <t>Помощник форматной пилы</t>
  </si>
  <si>
    <t>Мастер Кромкооблицовки</t>
  </si>
  <si>
    <t>Мастер Присадочного стола</t>
  </si>
  <si>
    <t>Мастер Фрезерования</t>
  </si>
  <si>
    <t>Снабженец</t>
  </si>
  <si>
    <t>Сборщик в цехе</t>
  </si>
  <si>
    <t>ОТК специалист</t>
  </si>
  <si>
    <t>Помощник Кромкооблицовки</t>
  </si>
  <si>
    <t>Снабженец 2</t>
  </si>
  <si>
    <t>Вес сотрудников, для достижения цели в изготовлении</t>
  </si>
  <si>
    <t>заказ / изделие</t>
  </si>
  <si>
    <t>Конструктор</t>
  </si>
  <si>
    <t>Рабочие дни для достижения пропускной способности</t>
  </si>
  <si>
    <t>Расчетное время в рабочих днях</t>
  </si>
  <si>
    <t>Дата готовности</t>
  </si>
  <si>
    <t>Выдано заказов / физ. Показатели / м.пог /м2</t>
  </si>
  <si>
    <t>Дата старта</t>
  </si>
  <si>
    <t>Реальный вес присутствующих сотрудников</t>
  </si>
  <si>
    <t>Коэффициэнт производительности</t>
  </si>
  <si>
    <t>Пропускная способность в рабочий день</t>
  </si>
  <si>
    <t>Выше нужно собрать физические показатели для планирования обьемов</t>
  </si>
  <si>
    <t>Кухня</t>
  </si>
  <si>
    <t>Шкаф</t>
  </si>
  <si>
    <t>Заказчик №1</t>
  </si>
  <si>
    <t>Тумба</t>
  </si>
  <si>
    <t>Заказчик №3</t>
  </si>
  <si>
    <t>Заказчик №2</t>
  </si>
  <si>
    <t>Заказчик №4</t>
  </si>
  <si>
    <t>Прихожая</t>
  </si>
  <si>
    <t>Конструирование №1</t>
  </si>
  <si>
    <t>Конструирование №2</t>
  </si>
  <si>
    <t>Коэф на конструктора</t>
  </si>
  <si>
    <t>Дата договора</t>
  </si>
  <si>
    <t>Дата запуска в производство</t>
  </si>
  <si>
    <t>Вид изделия</t>
  </si>
  <si>
    <t>Приоритет изготовления</t>
  </si>
  <si>
    <t>м.погон (м2*10), рассчетная величина)</t>
  </si>
  <si>
    <t>Договор /Заказчик</t>
  </si>
  <si>
    <t>Нераспределенные заказы</t>
  </si>
  <si>
    <t>Количество изделий</t>
  </si>
  <si>
    <t>4. Важен момент приоритетности заказов. Когда ставим приорите 1, то менее важные заказы смещаются</t>
  </si>
  <si>
    <t>5. Таблица сделана как пример алгоритма расчета времени и обьемов изготовления участками. Но важно по каждому изделию ставить вренмя его изготовления и видеть его на календаре производственного процеса (на 1м экране монитора видеть к примеру окна календаря и в днях, понимать что делается и когда. То есть вижу день, а в нем все циклы и что делается)</t>
  </si>
  <si>
    <t>6. В идеале делать возможность подвигать заказы перемещением ячеек. К примеру как в канбан битриксе двигаем лиды или сделки</t>
  </si>
  <si>
    <t>Ниже расчет по участкам, что взято в работу и в какую дату изготовят взятое, а выше то что планово должны сделать и в какую дату изготовят (накопительно)</t>
  </si>
  <si>
    <t>Участок Конструирование он первый, все остальные дату окончания работы предыдущего участка берет себе как старт своей даты начала работы</t>
  </si>
  <si>
    <r>
      <t xml:space="preserve">Логично прогонять изделие </t>
    </r>
    <r>
      <rPr>
        <b/>
        <sz val="11"/>
        <color theme="1"/>
        <rFont val="Calibri"/>
        <family val="2"/>
        <charset val="204"/>
        <scheme val="minor"/>
      </rPr>
      <t>поштучно</t>
    </r>
    <r>
      <rPr>
        <sz val="11"/>
        <color theme="1"/>
        <rFont val="Calibri"/>
        <family val="2"/>
        <charset val="204"/>
        <scheme val="minor"/>
      </rPr>
      <t xml:space="preserve"> по участкам, так как одно изделие может не зависить от второго в одном заказе по срокам изготовления. И накопительно даты по изделиям ставить в календарь готовности по участкам. То есть логика расчета обьемов показана в таблице ниже и через расчет общих обьемов изготовления можно планировать общий обьем изготовления. А для управления позаказно, нужно прогонять через расчет обьемов с датами изготовления по каждому изделию в заказе (кухня, тумба, зеркало, техника-только снабжение работает, шкаф и так далее)</t>
    </r>
  </si>
  <si>
    <t>Даня этот блок нужно будет сделать расчетным, после получения статистики по участкам (по фактическому выполнению) Это чуть позже, пока руками буду проставлять % на специалиста</t>
  </si>
  <si>
    <t>А так как два участка, то заказ который будет конструйровать 1й конструктор, получит старт после его даты окончания и так далее</t>
  </si>
  <si>
    <t>Желтым выделил пример, где даты которые завися от участка конструирования начинают работу после этого учатска</t>
  </si>
  <si>
    <t>А остальные участки идут после завершения раьот предыдущего участка</t>
  </si>
  <si>
    <t>Участок сборки начинает работать, после участка Присадочный станок и участка комплектация (то есть если чего то не сделано на предыдущих участках и не закуплено, то время старта участка сборки может быть начато, только после отработки предыдущих участков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</si>
</sst>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9" fontId="0" fillId="0" borderId="4" xfId="0" applyNumberForma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9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6" borderId="2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center" wrapText="1"/>
    </xf>
    <xf numFmtId="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/>
    <xf numFmtId="0" fontId="0" fillId="0" borderId="0" xfId="0" applyFill="1" applyBorder="1" applyAlignment="1">
      <alignment horizontal="center" vertical="center" wrapText="1"/>
    </xf>
    <xf numFmtId="9" fontId="0" fillId="0" borderId="0" xfId="0" applyNumberFormat="1" applyFill="1" applyBorder="1" applyAlignment="1">
      <alignment horizontal="center" vertical="center" wrapText="1"/>
    </xf>
    <xf numFmtId="9" fontId="0" fillId="0" borderId="0" xfId="0" applyNumberFormat="1" applyFill="1" applyBorder="1" applyAlignment="1">
      <alignment horizontal="center" vertical="top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3" borderId="2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8" borderId="0" xfId="0" applyFill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0" fontId="0" fillId="9" borderId="0" xfId="0" applyFill="1"/>
    <xf numFmtId="14" fontId="0" fillId="9" borderId="0" xfId="0" applyNumberFormat="1" applyFill="1" applyAlignment="1">
      <alignment horizontal="center" vertical="center"/>
    </xf>
    <xf numFmtId="14" fontId="0" fillId="10" borderId="0" xfId="0" applyNumberFormat="1" applyFill="1" applyAlignment="1">
      <alignment horizontal="center" vertical="center"/>
    </xf>
    <xf numFmtId="14" fontId="0" fillId="11" borderId="0" xfId="0" applyNumberFormat="1" applyFill="1" applyAlignment="1">
      <alignment horizontal="center" vertical="center"/>
    </xf>
    <xf numFmtId="14" fontId="0" fillId="12" borderId="0" xfId="0" applyNumberFormat="1" applyFill="1" applyAlignment="1">
      <alignment horizontal="center" vertical="center"/>
    </xf>
    <xf numFmtId="0" fontId="0" fillId="12" borderId="0" xfId="0" applyFill="1"/>
    <xf numFmtId="14" fontId="0" fillId="13" borderId="0" xfId="0" applyNumberFormat="1" applyFill="1" applyAlignment="1">
      <alignment horizontal="center" vertical="center"/>
    </xf>
    <xf numFmtId="14" fontId="0" fillId="8" borderId="0" xfId="0" applyNumberForma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606E-AF6A-457E-944B-CBB67109F73D}">
  <dimension ref="A2:AC61"/>
  <sheetViews>
    <sheetView tabSelected="1" topLeftCell="C16" zoomScale="115" zoomScaleNormal="115" workbookViewId="0">
      <selection activeCell="Y34" sqref="Y34"/>
    </sheetView>
  </sheetViews>
  <sheetFormatPr defaultRowHeight="14.4" x14ac:dyDescent="0.3"/>
  <cols>
    <col min="1" max="1" width="3.88671875" customWidth="1"/>
    <col min="2" max="2" width="18.88671875" customWidth="1"/>
    <col min="3" max="3" width="3.33203125" customWidth="1"/>
    <col min="4" max="4" width="16.21875" style="26" customWidth="1"/>
    <col min="5" max="5" width="2.5546875" style="21" customWidth="1"/>
    <col min="6" max="6" width="16.109375" customWidth="1"/>
    <col min="7" max="7" width="3.33203125" customWidth="1"/>
    <col min="8" max="8" width="14.5546875" customWidth="1"/>
    <col min="9" max="9" width="2.5546875" customWidth="1"/>
    <col min="10" max="10" width="14.5546875" customWidth="1"/>
    <col min="11" max="11" width="2.5546875" customWidth="1"/>
    <col min="12" max="12" width="14.5546875" customWidth="1"/>
    <col min="13" max="13" width="2.5546875" customWidth="1"/>
    <col min="14" max="14" width="14.5546875" customWidth="1"/>
    <col min="15" max="15" width="2.5546875" customWidth="1"/>
    <col min="16" max="16" width="14.5546875" customWidth="1"/>
    <col min="17" max="17" width="2.5546875" customWidth="1"/>
    <col min="18" max="18" width="14.5546875" customWidth="1"/>
    <col min="19" max="19" width="2.5546875" customWidth="1"/>
    <col min="20" max="20" width="14.5546875" customWidth="1"/>
    <col min="21" max="21" width="2.6640625" customWidth="1"/>
    <col min="22" max="22" width="11.6640625" customWidth="1"/>
  </cols>
  <sheetData>
    <row r="2" spans="1:18" ht="57.6" x14ac:dyDescent="0.3">
      <c r="B2" s="34" t="s">
        <v>57</v>
      </c>
      <c r="C2" s="33"/>
      <c r="D2" s="34" t="s">
        <v>55</v>
      </c>
      <c r="E2" s="28"/>
      <c r="F2" s="34" t="s">
        <v>59</v>
      </c>
      <c r="G2" s="33"/>
      <c r="H2" s="34" t="s">
        <v>54</v>
      </c>
      <c r="I2" s="33"/>
      <c r="J2" s="34" t="s">
        <v>51</v>
      </c>
      <c r="K2" s="34"/>
      <c r="L2" s="34" t="s">
        <v>16</v>
      </c>
      <c r="M2" s="34"/>
      <c r="N2" s="34" t="s">
        <v>56</v>
      </c>
      <c r="O2" s="33"/>
      <c r="P2" s="34" t="s">
        <v>52</v>
      </c>
      <c r="Q2" s="33"/>
      <c r="R2" s="34" t="s">
        <v>53</v>
      </c>
    </row>
    <row r="3" spans="1:18" x14ac:dyDescent="0.3">
      <c r="B3" s="43" t="s">
        <v>43</v>
      </c>
      <c r="C3" s="27"/>
      <c r="D3" s="31">
        <v>1</v>
      </c>
      <c r="E3" s="28"/>
      <c r="F3" s="31">
        <v>1</v>
      </c>
      <c r="G3" s="32"/>
      <c r="H3" s="31" t="s">
        <v>41</v>
      </c>
      <c r="I3" s="28"/>
      <c r="J3" s="31">
        <v>1</v>
      </c>
      <c r="K3" s="27"/>
      <c r="L3" s="31">
        <v>58</v>
      </c>
      <c r="M3" s="31"/>
      <c r="N3" s="31">
        <f>L3*10</f>
        <v>580</v>
      </c>
      <c r="O3" s="27"/>
      <c r="P3" s="36">
        <v>46235</v>
      </c>
      <c r="Q3" s="27"/>
      <c r="R3" s="36">
        <v>46236</v>
      </c>
    </row>
    <row r="4" spans="1:18" x14ac:dyDescent="0.3">
      <c r="B4" s="43"/>
      <c r="C4" s="27"/>
      <c r="D4" s="31">
        <v>1</v>
      </c>
      <c r="E4" s="28"/>
      <c r="F4" s="31">
        <v>1</v>
      </c>
      <c r="G4" s="32"/>
      <c r="H4" s="31" t="s">
        <v>42</v>
      </c>
      <c r="I4" s="28"/>
      <c r="J4" s="31">
        <v>0.6</v>
      </c>
      <c r="K4" s="27"/>
      <c r="L4" s="31">
        <v>46</v>
      </c>
      <c r="M4" s="31"/>
      <c r="N4" s="31">
        <f t="shared" ref="N4:N8" si="0">L4*10</f>
        <v>460</v>
      </c>
      <c r="O4" s="27"/>
      <c r="P4" s="36">
        <v>46235</v>
      </c>
      <c r="Q4" s="27"/>
      <c r="R4" s="36">
        <v>46236</v>
      </c>
    </row>
    <row r="5" spans="1:18" x14ac:dyDescent="0.3">
      <c r="B5" s="43"/>
      <c r="C5" s="27"/>
      <c r="D5" s="31">
        <v>4</v>
      </c>
      <c r="E5" s="28"/>
      <c r="F5" s="31">
        <v>1</v>
      </c>
      <c r="G5" s="32"/>
      <c r="H5" s="31" t="s">
        <v>44</v>
      </c>
      <c r="I5" s="28"/>
      <c r="J5" s="31">
        <v>0.3</v>
      </c>
      <c r="K5" s="27"/>
      <c r="L5" s="31">
        <v>12</v>
      </c>
      <c r="M5" s="31"/>
      <c r="N5" s="31">
        <f t="shared" si="0"/>
        <v>120</v>
      </c>
      <c r="O5" s="27"/>
      <c r="P5" s="36">
        <v>46235</v>
      </c>
      <c r="Q5" s="27"/>
      <c r="R5" s="36">
        <v>46236</v>
      </c>
    </row>
    <row r="6" spans="1:18" x14ac:dyDescent="0.3">
      <c r="B6" s="29" t="s">
        <v>46</v>
      </c>
      <c r="C6" s="27"/>
      <c r="D6" s="31">
        <v>1</v>
      </c>
      <c r="E6" s="28"/>
      <c r="F6" s="31">
        <v>1</v>
      </c>
      <c r="G6" s="32"/>
      <c r="H6" s="31" t="s">
        <v>41</v>
      </c>
      <c r="I6" s="28"/>
      <c r="J6" s="31">
        <v>1</v>
      </c>
      <c r="K6" s="27"/>
      <c r="L6" s="31">
        <v>85</v>
      </c>
      <c r="M6" s="31"/>
      <c r="N6" s="31">
        <f t="shared" si="0"/>
        <v>850</v>
      </c>
      <c r="O6" s="27"/>
      <c r="P6" s="36">
        <v>46235</v>
      </c>
      <c r="Q6" s="27"/>
      <c r="R6" s="36">
        <v>46236</v>
      </c>
    </row>
    <row r="7" spans="1:18" x14ac:dyDescent="0.3">
      <c r="B7" s="29" t="s">
        <v>45</v>
      </c>
      <c r="C7" s="27"/>
      <c r="D7" s="31">
        <v>2</v>
      </c>
      <c r="E7" s="28"/>
      <c r="F7" s="31">
        <v>1</v>
      </c>
      <c r="G7" s="32"/>
      <c r="H7" s="31" t="s">
        <v>48</v>
      </c>
      <c r="I7" s="28"/>
      <c r="J7" s="31">
        <v>0.8</v>
      </c>
      <c r="K7" s="27"/>
      <c r="L7" s="31">
        <v>55</v>
      </c>
      <c r="M7" s="31"/>
      <c r="N7" s="31">
        <f t="shared" si="0"/>
        <v>550</v>
      </c>
      <c r="O7" s="27"/>
      <c r="P7" s="36">
        <v>46235</v>
      </c>
      <c r="Q7" s="27"/>
      <c r="R7" s="36">
        <v>46236</v>
      </c>
    </row>
    <row r="8" spans="1:18" x14ac:dyDescent="0.3">
      <c r="B8" s="29" t="s">
        <v>47</v>
      </c>
      <c r="C8" s="27"/>
      <c r="D8" s="31">
        <v>3</v>
      </c>
      <c r="E8" s="28"/>
      <c r="F8" s="31">
        <v>1</v>
      </c>
      <c r="G8" s="32"/>
      <c r="H8" s="31" t="s">
        <v>42</v>
      </c>
      <c r="I8" s="28"/>
      <c r="J8" s="31">
        <v>1</v>
      </c>
      <c r="K8" s="27"/>
      <c r="L8" s="31">
        <v>34</v>
      </c>
      <c r="M8" s="31"/>
      <c r="N8" s="31">
        <f t="shared" si="0"/>
        <v>340</v>
      </c>
      <c r="O8" s="27"/>
      <c r="P8" s="36">
        <v>46235</v>
      </c>
      <c r="Q8" s="27"/>
      <c r="R8" s="36">
        <v>46236</v>
      </c>
    </row>
    <row r="9" spans="1:18" x14ac:dyDescent="0.3">
      <c r="F9" s="7">
        <f>SUM(F3:F8)</f>
        <v>6</v>
      </c>
      <c r="G9" s="21"/>
      <c r="J9" s="7">
        <f>SUM(J3:J8)</f>
        <v>4.7</v>
      </c>
      <c r="K9" s="7"/>
      <c r="L9" s="7">
        <f>SUM(L3:L8)</f>
        <v>290</v>
      </c>
      <c r="M9" s="7"/>
      <c r="N9" s="7">
        <f>SUM(N3:N8)</f>
        <v>2900</v>
      </c>
    </row>
    <row r="10" spans="1:18" ht="6.75" customHeight="1" x14ac:dyDescent="0.3">
      <c r="H10" s="7"/>
      <c r="I10" s="7"/>
      <c r="J10" s="7"/>
      <c r="K10" s="7"/>
      <c r="L10" s="7"/>
    </row>
    <row r="11" spans="1:18" x14ac:dyDescent="0.3">
      <c r="B11" s="25" t="s">
        <v>40</v>
      </c>
      <c r="C11" s="25"/>
      <c r="D11" s="30"/>
      <c r="E11" s="25"/>
      <c r="F11" s="25"/>
      <c r="G11" s="25"/>
      <c r="H11" s="25"/>
    </row>
    <row r="12" spans="1:18" ht="21.75" customHeight="1" x14ac:dyDescent="0.3">
      <c r="B12" s="44" t="s">
        <v>63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</row>
    <row r="13" spans="1:18" ht="27" customHeight="1" x14ac:dyDescent="0.3">
      <c r="B13" s="44" t="s">
        <v>64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</row>
    <row r="14" spans="1:18" ht="29.7" customHeight="1" x14ac:dyDescent="0.3">
      <c r="B14" s="44" t="s">
        <v>65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</row>
    <row r="15" spans="1:18" ht="29.25" customHeight="1" x14ac:dyDescent="0.3">
      <c r="A15" s="21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</row>
    <row r="16" spans="1:18" x14ac:dyDescent="0.3">
      <c r="A16" s="21"/>
      <c r="B16" s="21"/>
      <c r="C16" s="21"/>
      <c r="D16" s="37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 spans="2:27" ht="28.5" customHeight="1" x14ac:dyDescent="0.3">
      <c r="B17" s="38" t="s">
        <v>58</v>
      </c>
      <c r="D17" s="35">
        <f>J9-D19-F19</f>
        <v>1</v>
      </c>
      <c r="F17" s="35">
        <f>J9-D19-F19</f>
        <v>1</v>
      </c>
      <c r="G17" s="35"/>
      <c r="H17" s="35">
        <f>L9-H19</f>
        <v>90</v>
      </c>
      <c r="I17" s="35"/>
      <c r="J17" s="35">
        <f>N9-J19</f>
        <v>2120</v>
      </c>
      <c r="K17" s="35"/>
      <c r="L17" s="35">
        <f>L9-L19</f>
        <v>81</v>
      </c>
      <c r="M17" s="35"/>
      <c r="N17" s="35">
        <f>L9-N19</f>
        <v>265</v>
      </c>
      <c r="O17" s="35"/>
      <c r="P17" s="35">
        <f>F9-P19</f>
        <v>1</v>
      </c>
      <c r="R17" s="35">
        <f>L9-R19</f>
        <v>111</v>
      </c>
      <c r="S17" s="35"/>
      <c r="T17" s="35">
        <f>L9-T19</f>
        <v>111</v>
      </c>
      <c r="U17" s="35"/>
      <c r="V17" s="35">
        <f>L9-V19</f>
        <v>288</v>
      </c>
    </row>
    <row r="19" spans="2:27" ht="43.2" x14ac:dyDescent="0.3">
      <c r="B19" s="2" t="s">
        <v>35</v>
      </c>
      <c r="D19" s="7">
        <v>2.7</v>
      </c>
      <c r="E19" s="17"/>
      <c r="F19" s="7">
        <v>1</v>
      </c>
      <c r="G19" s="7"/>
      <c r="H19" s="7">
        <v>200</v>
      </c>
      <c r="I19" s="7"/>
      <c r="J19" s="7">
        <v>780</v>
      </c>
      <c r="K19" s="7"/>
      <c r="L19" s="7">
        <v>209</v>
      </c>
      <c r="M19" s="7"/>
      <c r="N19" s="7">
        <v>25</v>
      </c>
      <c r="O19" s="7"/>
      <c r="P19" s="7">
        <v>5</v>
      </c>
      <c r="Q19" s="7"/>
      <c r="R19" s="7">
        <v>179</v>
      </c>
      <c r="S19" s="7"/>
      <c r="T19" s="7">
        <v>179</v>
      </c>
      <c r="V19" s="7">
        <v>2</v>
      </c>
    </row>
    <row r="20" spans="2:27" x14ac:dyDescent="0.3">
      <c r="B20" s="2"/>
      <c r="D20" s="7"/>
      <c r="E20" s="17"/>
      <c r="F20" s="7"/>
    </row>
    <row r="21" spans="2:27" ht="43.2" x14ac:dyDescent="0.3">
      <c r="B21" s="16" t="s">
        <v>38</v>
      </c>
      <c r="D21" s="15">
        <f>D40/D36</f>
        <v>1</v>
      </c>
      <c r="E21" s="18"/>
      <c r="F21" s="15">
        <f>F40/F36</f>
        <v>1</v>
      </c>
      <c r="H21" s="15">
        <f>H40/H36</f>
        <v>1</v>
      </c>
      <c r="J21" s="15">
        <f>J40/J36</f>
        <v>1</v>
      </c>
      <c r="L21" s="15">
        <f>L40/L36</f>
        <v>1</v>
      </c>
      <c r="N21" s="15">
        <f>N40/N36</f>
        <v>1</v>
      </c>
      <c r="P21" s="15">
        <f>P40/P36</f>
        <v>1</v>
      </c>
      <c r="R21" s="15">
        <f>R40/R36</f>
        <v>1</v>
      </c>
      <c r="T21" s="15">
        <f>T40/T36</f>
        <v>1</v>
      </c>
      <c r="V21" s="15">
        <f>V40/V36</f>
        <v>1</v>
      </c>
    </row>
    <row r="22" spans="2:27" x14ac:dyDescent="0.3">
      <c r="B22" s="2"/>
      <c r="D22" s="7"/>
      <c r="E22" s="17"/>
      <c r="F22" s="7"/>
    </row>
    <row r="23" spans="2:27" ht="28.8" x14ac:dyDescent="0.3">
      <c r="B23" s="2" t="s">
        <v>33</v>
      </c>
      <c r="D23" s="7">
        <f>ROUNDDOWN((D19/D34)/D21,2)</f>
        <v>5.4</v>
      </c>
      <c r="E23" s="17"/>
      <c r="F23" s="7">
        <f>ROUNDDOWN((F19/F34)/F21,2)</f>
        <v>2</v>
      </c>
      <c r="H23" s="7">
        <f>ROUNDDOWN((H19/H34)/H21,2)</f>
        <v>2</v>
      </c>
      <c r="J23" s="7">
        <f>ROUNDDOWN((J19/J34)/J21,2)</f>
        <v>1.56</v>
      </c>
      <c r="L23" s="7">
        <f>ROUNDDOWN((L19/L34)/L21,2)</f>
        <v>1.49</v>
      </c>
      <c r="N23" s="7">
        <f>ROUNDDOWN((N19/N34)/N21,2)</f>
        <v>0.83</v>
      </c>
      <c r="P23" s="7">
        <f>ROUNDDOWN((P19/P34)/P21,2)</f>
        <v>1.25</v>
      </c>
      <c r="R23" s="7">
        <f>ROUNDDOWN((R19/R34)/R21,2)</f>
        <v>2.23</v>
      </c>
      <c r="T23" s="7">
        <f>ROUNDDOWN((T19/T34)/T21,2)</f>
        <v>2.23</v>
      </c>
      <c r="V23" s="7">
        <f>ROUNDDOWN((V19/V34)/V21,2)</f>
        <v>0.02</v>
      </c>
    </row>
    <row r="24" spans="2:27" x14ac:dyDescent="0.3">
      <c r="B24" s="2"/>
      <c r="D24" s="7"/>
      <c r="E24" s="17"/>
      <c r="F24" s="7"/>
    </row>
    <row r="25" spans="2:27" x14ac:dyDescent="0.3">
      <c r="B25" s="2" t="s">
        <v>36</v>
      </c>
      <c r="D25" s="12">
        <v>46236</v>
      </c>
      <c r="E25" s="19"/>
      <c r="F25" s="12">
        <v>46236</v>
      </c>
      <c r="H25" s="47">
        <f>F27</f>
        <v>46238</v>
      </c>
      <c r="J25" s="49">
        <f>H27</f>
        <v>46240</v>
      </c>
      <c r="L25" s="50">
        <f>J27</f>
        <v>46242</v>
      </c>
      <c r="N25" s="51">
        <f>L27</f>
        <v>46244</v>
      </c>
      <c r="P25" s="47">
        <f>F27</f>
        <v>46238</v>
      </c>
      <c r="R25" s="52">
        <f>P27</f>
        <v>46240</v>
      </c>
      <c r="T25" s="54">
        <f>R27</f>
        <v>46243</v>
      </c>
      <c r="V25" s="55">
        <f>T27</f>
        <v>46246</v>
      </c>
      <c r="X25" s="25" t="s">
        <v>68</v>
      </c>
      <c r="Y25" s="25"/>
      <c r="Z25" s="25"/>
      <c r="AA25" s="25"/>
    </row>
    <row r="26" spans="2:27" x14ac:dyDescent="0.3">
      <c r="B26" s="2"/>
      <c r="D26" s="7"/>
      <c r="E26" s="17"/>
      <c r="F26" s="7"/>
      <c r="X26" s="25" t="s">
        <v>67</v>
      </c>
      <c r="Y26" s="25"/>
      <c r="Z26" s="25"/>
      <c r="AA26" s="25"/>
    </row>
    <row r="27" spans="2:27" x14ac:dyDescent="0.3">
      <c r="B27" s="2" t="s">
        <v>34</v>
      </c>
      <c r="D27" s="12">
        <f>ROUNDUP((D25+D23),0)</f>
        <v>46242</v>
      </c>
      <c r="E27" s="19"/>
      <c r="F27" s="47">
        <f>ROUNDUP((F25+F23),0)</f>
        <v>46238</v>
      </c>
      <c r="H27" s="49">
        <f>ROUNDUP((H25+H23),0)</f>
        <v>46240</v>
      </c>
      <c r="J27" s="50">
        <f>ROUNDUP((J25+J23),0)</f>
        <v>46242</v>
      </c>
      <c r="L27" s="51">
        <f>ROUNDUP((L25+L23),0)</f>
        <v>46244</v>
      </c>
      <c r="N27" s="12">
        <f>ROUNDUP((N25+N23),0)</f>
        <v>46245</v>
      </c>
      <c r="P27" s="12">
        <f>ROUNDUP((P25+P23),0)</f>
        <v>46240</v>
      </c>
      <c r="R27" s="54">
        <f>ROUNDUP((R25+R23),0)</f>
        <v>46243</v>
      </c>
      <c r="T27" s="55">
        <f>ROUNDUP((T25+T23),0)</f>
        <v>46246</v>
      </c>
      <c r="V27" s="12">
        <f>ROUNDUP((V25+V23),0)</f>
        <v>46247</v>
      </c>
      <c r="X27" s="48" t="s">
        <v>69</v>
      </c>
      <c r="Y27" s="48"/>
      <c r="Z27" s="48"/>
      <c r="AA27" s="48"/>
    </row>
    <row r="28" spans="2:27" x14ac:dyDescent="0.3">
      <c r="X28" s="53" t="s">
        <v>70</v>
      </c>
      <c r="Y28" s="53"/>
      <c r="Z28" s="53"/>
      <c r="AA28" s="53"/>
    </row>
    <row r="29" spans="2:27" x14ac:dyDescent="0.3">
      <c r="B29" s="45" t="s">
        <v>0</v>
      </c>
      <c r="D29" s="41" t="s">
        <v>49</v>
      </c>
      <c r="E29" s="20"/>
      <c r="F29" s="41" t="s">
        <v>50</v>
      </c>
      <c r="H29" s="41" t="s">
        <v>1</v>
      </c>
      <c r="I29" s="1"/>
      <c r="J29" s="41" t="s">
        <v>5</v>
      </c>
      <c r="K29" s="1"/>
      <c r="L29" s="41" t="s">
        <v>6</v>
      </c>
      <c r="M29" s="1"/>
      <c r="N29" s="41" t="s">
        <v>7</v>
      </c>
      <c r="O29" s="1"/>
      <c r="P29" s="41" t="s">
        <v>8</v>
      </c>
      <c r="Q29" s="1"/>
      <c r="R29" s="41" t="s">
        <v>9</v>
      </c>
      <c r="S29" s="1"/>
      <c r="T29" s="41" t="s">
        <v>10</v>
      </c>
      <c r="U29" s="1"/>
      <c r="V29" s="41" t="s">
        <v>11</v>
      </c>
    </row>
    <row r="30" spans="2:27" x14ac:dyDescent="0.3">
      <c r="B30" s="46"/>
      <c r="D30" s="42"/>
      <c r="E30" s="20"/>
      <c r="F30" s="42"/>
      <c r="H30" s="42"/>
      <c r="I30" s="1"/>
      <c r="J30" s="42"/>
      <c r="K30" s="1"/>
      <c r="L30" s="42"/>
      <c r="M30" s="1"/>
      <c r="N30" s="42"/>
      <c r="O30" s="1"/>
      <c r="P30" s="42"/>
      <c r="Q30" s="1"/>
      <c r="R30" s="42"/>
      <c r="S30" s="1"/>
      <c r="T30" s="42"/>
      <c r="U30" s="1"/>
      <c r="V30" s="42"/>
    </row>
    <row r="31" spans="2:27" x14ac:dyDescent="0.3">
      <c r="B31" s="46"/>
      <c r="D31" s="42"/>
      <c r="E31" s="20"/>
      <c r="F31" s="42"/>
      <c r="H31" s="42"/>
      <c r="I31" s="1"/>
      <c r="J31" s="42"/>
      <c r="K31" s="1"/>
      <c r="L31" s="42"/>
      <c r="M31" s="1"/>
      <c r="N31" s="42"/>
      <c r="O31" s="1"/>
      <c r="P31" s="42"/>
      <c r="Q31" s="1"/>
      <c r="R31" s="42"/>
      <c r="S31" s="1"/>
      <c r="T31" s="42"/>
      <c r="U31" s="1"/>
      <c r="V31" s="42"/>
    </row>
    <row r="33" spans="2:29" x14ac:dyDescent="0.3">
      <c r="B33" s="4" t="s">
        <v>15</v>
      </c>
      <c r="D33" s="4" t="s">
        <v>30</v>
      </c>
      <c r="E33" s="22"/>
      <c r="F33" s="4" t="s">
        <v>30</v>
      </c>
      <c r="H33" s="4" t="s">
        <v>16</v>
      </c>
      <c r="I33" s="2"/>
      <c r="J33" s="4" t="s">
        <v>18</v>
      </c>
      <c r="K33" s="2"/>
      <c r="L33" s="4" t="s">
        <v>16</v>
      </c>
      <c r="M33" s="2"/>
      <c r="N33" s="4" t="s">
        <v>16</v>
      </c>
      <c r="O33" s="2"/>
      <c r="P33" s="4" t="s">
        <v>17</v>
      </c>
      <c r="Q33" s="2"/>
      <c r="R33" s="4" t="s">
        <v>16</v>
      </c>
      <c r="S33" s="2"/>
      <c r="T33" s="4" t="s">
        <v>16</v>
      </c>
      <c r="U33" s="2"/>
      <c r="V33" s="4" t="s">
        <v>16</v>
      </c>
    </row>
    <row r="34" spans="2:29" ht="43.2" x14ac:dyDescent="0.3">
      <c r="B34" s="3" t="s">
        <v>39</v>
      </c>
      <c r="D34" s="3">
        <v>0.5</v>
      </c>
      <c r="E34" s="22"/>
      <c r="F34" s="3">
        <v>0.5</v>
      </c>
      <c r="H34" s="3">
        <v>100</v>
      </c>
      <c r="I34" s="2"/>
      <c r="J34" s="3">
        <f>500</f>
        <v>500</v>
      </c>
      <c r="K34" s="2"/>
      <c r="L34" s="3">
        <v>140</v>
      </c>
      <c r="M34" s="2"/>
      <c r="N34" s="3">
        <v>30</v>
      </c>
      <c r="O34" s="2"/>
      <c r="P34" s="3">
        <v>4</v>
      </c>
      <c r="Q34" s="2"/>
      <c r="R34" s="3">
        <v>80</v>
      </c>
      <c r="S34" s="2"/>
      <c r="T34" s="3">
        <v>80</v>
      </c>
      <c r="U34" s="2"/>
      <c r="V34" s="3">
        <v>80</v>
      </c>
    </row>
    <row r="35" spans="2:29" ht="57.6" x14ac:dyDescent="0.3">
      <c r="B35" s="11" t="s">
        <v>32</v>
      </c>
      <c r="D35" s="11">
        <v>2</v>
      </c>
      <c r="E35" s="22"/>
      <c r="F35" s="11">
        <v>2</v>
      </c>
      <c r="H35" s="11">
        <v>1</v>
      </c>
      <c r="I35" s="2"/>
      <c r="J35" s="11">
        <v>1</v>
      </c>
      <c r="K35" s="2"/>
      <c r="L35" s="11">
        <v>1</v>
      </c>
      <c r="M35" s="2"/>
      <c r="N35" s="11">
        <v>1</v>
      </c>
      <c r="O35" s="2"/>
      <c r="P35" s="11">
        <v>1</v>
      </c>
      <c r="Q35" s="2"/>
      <c r="R35" s="11">
        <v>1</v>
      </c>
      <c r="S35" s="2"/>
      <c r="T35" s="11">
        <v>1</v>
      </c>
      <c r="U35" s="2"/>
      <c r="V35" s="11">
        <v>1</v>
      </c>
    </row>
    <row r="36" spans="2:29" ht="57.6" x14ac:dyDescent="0.3">
      <c r="B36" s="14" t="s">
        <v>29</v>
      </c>
      <c r="D36" s="15">
        <v>1</v>
      </c>
      <c r="E36" s="18"/>
      <c r="F36" s="15">
        <v>1</v>
      </c>
      <c r="G36" s="7"/>
      <c r="H36" s="15">
        <v>1.2</v>
      </c>
      <c r="I36" s="2"/>
      <c r="J36" s="15">
        <v>1.4</v>
      </c>
      <c r="K36" s="2"/>
      <c r="L36" s="15">
        <v>1</v>
      </c>
      <c r="M36" s="2"/>
      <c r="N36" s="15">
        <v>1</v>
      </c>
      <c r="O36" s="2"/>
      <c r="P36" s="15">
        <v>1.6</v>
      </c>
      <c r="Q36" s="2"/>
      <c r="R36" s="15">
        <v>4</v>
      </c>
      <c r="S36" s="2"/>
      <c r="T36" s="15">
        <v>1</v>
      </c>
      <c r="U36" s="2"/>
      <c r="V36" s="15">
        <v>1</v>
      </c>
    </row>
    <row r="38" spans="2:29" x14ac:dyDescent="0.3">
      <c r="B38" s="9" t="s">
        <v>19</v>
      </c>
      <c r="C38" s="1"/>
      <c r="D38" s="3">
        <v>1</v>
      </c>
      <c r="E38" s="22"/>
      <c r="F38" s="3">
        <v>1</v>
      </c>
      <c r="G38" s="1"/>
      <c r="H38" s="3">
        <v>2</v>
      </c>
      <c r="J38" s="3">
        <v>2</v>
      </c>
      <c r="L38" s="3">
        <v>1</v>
      </c>
      <c r="N38" s="3">
        <v>1</v>
      </c>
      <c r="P38" s="3">
        <v>2</v>
      </c>
      <c r="R38" s="3">
        <v>4</v>
      </c>
      <c r="T38" s="3">
        <v>1</v>
      </c>
      <c r="V38" s="3">
        <v>1</v>
      </c>
    </row>
    <row r="40" spans="2:29" ht="43.2" customHeight="1" x14ac:dyDescent="0.3">
      <c r="B40" s="13" t="s">
        <v>37</v>
      </c>
      <c r="D40" s="10">
        <f>D43+D46+D49+D52</f>
        <v>1</v>
      </c>
      <c r="E40" s="23"/>
      <c r="F40" s="10">
        <f>F43+F46+F49+F52</f>
        <v>1</v>
      </c>
      <c r="H40" s="10">
        <f>H43+H46</f>
        <v>1.2</v>
      </c>
      <c r="J40" s="10">
        <f>J43+J46</f>
        <v>1.4</v>
      </c>
      <c r="L40" s="10">
        <f>L43+L46</f>
        <v>1</v>
      </c>
      <c r="N40" s="10">
        <f>N43+N46</f>
        <v>1</v>
      </c>
      <c r="P40" s="10">
        <f>P43+P46</f>
        <v>1.6</v>
      </c>
      <c r="R40" s="10">
        <f>R43+R46+R49+R52</f>
        <v>4</v>
      </c>
      <c r="T40" s="10">
        <f>T43+T46</f>
        <v>1</v>
      </c>
      <c r="V40" s="10">
        <f>V43+V46</f>
        <v>1</v>
      </c>
      <c r="X40" s="40" t="s">
        <v>66</v>
      </c>
      <c r="Y40" s="40"/>
      <c r="Z40" s="40"/>
      <c r="AA40" s="40"/>
      <c r="AB40" s="39"/>
      <c r="AC40" s="39"/>
    </row>
    <row r="41" spans="2:29" x14ac:dyDescent="0.3">
      <c r="X41" s="40"/>
      <c r="Y41" s="40"/>
      <c r="Z41" s="40"/>
      <c r="AA41" s="40"/>
    </row>
    <row r="42" spans="2:29" ht="43.2" x14ac:dyDescent="0.3">
      <c r="B42" s="5" t="s">
        <v>2</v>
      </c>
      <c r="C42" s="1"/>
      <c r="D42" s="5" t="s">
        <v>31</v>
      </c>
      <c r="E42" s="20"/>
      <c r="F42" s="5" t="s">
        <v>31</v>
      </c>
      <c r="G42" s="1"/>
      <c r="H42" s="5" t="s">
        <v>4</v>
      </c>
      <c r="J42" s="5" t="s">
        <v>21</v>
      </c>
      <c r="L42" s="5" t="s">
        <v>22</v>
      </c>
      <c r="N42" s="5" t="s">
        <v>23</v>
      </c>
      <c r="P42" s="5" t="s">
        <v>24</v>
      </c>
      <c r="R42" s="5" t="s">
        <v>25</v>
      </c>
      <c r="T42" s="5" t="s">
        <v>26</v>
      </c>
      <c r="V42" s="5" t="s">
        <v>26</v>
      </c>
      <c r="X42" s="40"/>
      <c r="Y42" s="40"/>
      <c r="Z42" s="40"/>
      <c r="AA42" s="40"/>
    </row>
    <row r="43" spans="2:29" x14ac:dyDescent="0.3">
      <c r="B43" s="8" t="s">
        <v>3</v>
      </c>
      <c r="C43" s="1"/>
      <c r="D43" s="6">
        <v>1</v>
      </c>
      <c r="E43" s="24"/>
      <c r="F43" s="6">
        <v>1</v>
      </c>
      <c r="G43" s="1"/>
      <c r="H43" s="6">
        <v>1</v>
      </c>
      <c r="J43" s="6">
        <v>1</v>
      </c>
      <c r="L43" s="6">
        <v>1</v>
      </c>
      <c r="N43" s="6">
        <v>1</v>
      </c>
      <c r="P43" s="6">
        <v>1</v>
      </c>
      <c r="R43" s="6">
        <v>1</v>
      </c>
      <c r="T43" s="6">
        <v>1</v>
      </c>
      <c r="V43" s="6">
        <v>1</v>
      </c>
      <c r="X43" s="40"/>
      <c r="Y43" s="40"/>
      <c r="Z43" s="40"/>
      <c r="AA43" s="40"/>
    </row>
    <row r="44" spans="2:29" x14ac:dyDescent="0.3">
      <c r="X44" s="40"/>
      <c r="Y44" s="40"/>
      <c r="Z44" s="40"/>
      <c r="AA44" s="40"/>
    </row>
    <row r="45" spans="2:29" ht="43.2" x14ac:dyDescent="0.3">
      <c r="B45" s="5" t="s">
        <v>2</v>
      </c>
      <c r="C45" s="1"/>
      <c r="D45" s="5"/>
      <c r="E45" s="20"/>
      <c r="F45" s="5"/>
      <c r="G45" s="1"/>
      <c r="H45" s="5" t="s">
        <v>20</v>
      </c>
      <c r="J45" s="5" t="s">
        <v>27</v>
      </c>
      <c r="L45" s="5"/>
      <c r="N45" s="5"/>
      <c r="P45" s="5" t="s">
        <v>28</v>
      </c>
      <c r="R45" s="5" t="s">
        <v>25</v>
      </c>
      <c r="T45" s="5"/>
      <c r="V45" s="5"/>
      <c r="X45" s="40"/>
      <c r="Y45" s="40"/>
      <c r="Z45" s="40"/>
      <c r="AA45" s="40"/>
    </row>
    <row r="46" spans="2:29" x14ac:dyDescent="0.3">
      <c r="B46" s="8" t="s">
        <v>3</v>
      </c>
      <c r="C46" s="1"/>
      <c r="D46" s="6"/>
      <c r="E46" s="24"/>
      <c r="F46" s="6"/>
      <c r="G46" s="1"/>
      <c r="H46" s="6">
        <v>0.2</v>
      </c>
      <c r="J46" s="6">
        <v>0.4</v>
      </c>
      <c r="L46" s="6"/>
      <c r="N46" s="6"/>
      <c r="P46" s="6">
        <v>0.6</v>
      </c>
      <c r="R46" s="6">
        <v>1</v>
      </c>
      <c r="T46" s="6"/>
      <c r="V46" s="6"/>
    </row>
    <row r="48" spans="2:29" ht="43.2" x14ac:dyDescent="0.3">
      <c r="D48" s="5"/>
      <c r="E48" s="20"/>
      <c r="F48" s="5"/>
      <c r="H48" s="5" t="s">
        <v>20</v>
      </c>
      <c r="R48" s="5" t="s">
        <v>25</v>
      </c>
    </row>
    <row r="49" spans="2:18" x14ac:dyDescent="0.3">
      <c r="D49" s="6"/>
      <c r="E49" s="24"/>
      <c r="F49" s="6"/>
      <c r="H49" s="6">
        <v>0.2</v>
      </c>
      <c r="R49" s="6">
        <v>1</v>
      </c>
    </row>
    <row r="51" spans="2:18" ht="28.8" x14ac:dyDescent="0.3">
      <c r="R51" s="5" t="s">
        <v>25</v>
      </c>
    </row>
    <row r="52" spans="2:18" x14ac:dyDescent="0.3">
      <c r="R52" s="6">
        <v>1</v>
      </c>
    </row>
    <row r="56" spans="2:18" x14ac:dyDescent="0.3">
      <c r="B56" t="s">
        <v>12</v>
      </c>
    </row>
    <row r="57" spans="2:18" x14ac:dyDescent="0.3">
      <c r="B57" t="s">
        <v>13</v>
      </c>
    </row>
    <row r="58" spans="2:18" x14ac:dyDescent="0.3">
      <c r="B58" t="s">
        <v>14</v>
      </c>
    </row>
    <row r="59" spans="2:18" x14ac:dyDescent="0.3">
      <c r="B59" t="s">
        <v>60</v>
      </c>
    </row>
    <row r="60" spans="2:18" x14ac:dyDescent="0.3">
      <c r="B60" t="s">
        <v>61</v>
      </c>
    </row>
    <row r="61" spans="2:18" x14ac:dyDescent="0.3">
      <c r="B61" t="s">
        <v>62</v>
      </c>
    </row>
  </sheetData>
  <mergeCells count="16">
    <mergeCell ref="B3:B5"/>
    <mergeCell ref="B14:R15"/>
    <mergeCell ref="B13:R13"/>
    <mergeCell ref="B12:R12"/>
    <mergeCell ref="B29:B31"/>
    <mergeCell ref="F29:F31"/>
    <mergeCell ref="X40:AA45"/>
    <mergeCell ref="T29:T31"/>
    <mergeCell ref="V29:V31"/>
    <mergeCell ref="D29:D31"/>
    <mergeCell ref="H29:H31"/>
    <mergeCell ref="J29:J31"/>
    <mergeCell ref="L29:L31"/>
    <mergeCell ref="N29:N31"/>
    <mergeCell ref="P29:P31"/>
    <mergeCell ref="R29:R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Перминов</dc:creator>
  <cp:lastModifiedBy>Андрей Перминов</cp:lastModifiedBy>
  <dcterms:created xsi:type="dcterms:W3CDTF">2026-08-30T13:40:55Z</dcterms:created>
  <dcterms:modified xsi:type="dcterms:W3CDTF">2026-09-07T19:44:18Z</dcterms:modified>
</cp:coreProperties>
</file>